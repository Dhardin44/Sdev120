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nahardin/Desktop/"/>
    </mc:Choice>
  </mc:AlternateContent>
  <xr:revisionPtr revIDLastSave="0" documentId="8_{0410C1FD-D151-7849-A341-DBDFA271F95B}" xr6:coauthVersionLast="47" xr6:coauthVersionMax="47" xr10:uidLastSave="{00000000-0000-0000-0000-000000000000}"/>
  <bookViews>
    <workbookView xWindow="620" yWindow="500" windowWidth="24460" windowHeight="16280" activeTab="2" xr2:uid="{0984EF61-DA08-2B4F-8559-A4831D471B6A}"/>
  </bookViews>
  <sheets>
    <sheet name="Employee Payroll Results" sheetId="1" r:id="rId1"/>
    <sheet name="Employee Database (Lookup)" sheetId="3" r:id="rId2"/>
    <sheet name="10 Employee Test Cas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  <c r="H3" i="1"/>
  <c r="H4" i="1"/>
  <c r="I4" i="1" s="1"/>
  <c r="H5" i="1"/>
  <c r="I5" i="1" s="1"/>
  <c r="H6" i="1"/>
  <c r="I6" i="1" s="1"/>
  <c r="H7" i="1"/>
  <c r="I7" i="1" s="1"/>
  <c r="H8" i="1"/>
  <c r="I8" i="1" s="1"/>
  <c r="H9" i="1"/>
  <c r="J9" i="1" s="1"/>
  <c r="H10" i="1"/>
  <c r="I10" i="1" s="1"/>
  <c r="H11" i="1"/>
  <c r="J3" i="1"/>
  <c r="J4" i="1"/>
  <c r="J11" i="1"/>
  <c r="I3" i="1"/>
  <c r="K3" i="1" s="1"/>
  <c r="I11" i="1"/>
  <c r="H2" i="1"/>
  <c r="J2" i="1" s="1"/>
  <c r="J5" i="1" l="1"/>
  <c r="J6" i="1"/>
  <c r="J7" i="1"/>
  <c r="I2" i="1"/>
  <c r="K4" i="1"/>
  <c r="K7" i="1"/>
  <c r="J10" i="1"/>
  <c r="K10" i="1" s="1"/>
  <c r="K11" i="1"/>
  <c r="K5" i="1"/>
  <c r="K6" i="1"/>
  <c r="K2" i="1"/>
  <c r="J8" i="1"/>
  <c r="K8" i="1" s="1"/>
  <c r="I9" i="1"/>
  <c r="K9" i="1" s="1"/>
</calcChain>
</file>

<file path=xl/sharedStrings.xml><?xml version="1.0" encoding="utf-8"?>
<sst xmlns="http://schemas.openxmlformats.org/spreadsheetml/2006/main" count="95" uniqueCount="41">
  <si>
    <t>Employee Name</t>
  </si>
  <si>
    <t>Employee ID</t>
  </si>
  <si>
    <t>ID Number</t>
  </si>
  <si>
    <t>Dependents</t>
  </si>
  <si>
    <t>Overtime Hours</t>
  </si>
  <si>
    <t>Hourly Rate</t>
  </si>
  <si>
    <t>Valid</t>
  </si>
  <si>
    <t>Security Notes</t>
  </si>
  <si>
    <t>David Smith </t>
  </si>
  <si>
    <t>Kim Carter</t>
  </si>
  <si>
    <t>Sarah Panther</t>
  </si>
  <si>
    <t>Dakota Givens </t>
  </si>
  <si>
    <t>Michael Jordan</t>
  </si>
  <si>
    <t>James Holmes  </t>
  </si>
  <si>
    <t>Joseph Kurnen </t>
  </si>
  <si>
    <t>Amber Light</t>
  </si>
  <si>
    <t>Crystal Walker  </t>
  </si>
  <si>
    <t>Andrew</t>
  </si>
  <si>
    <t xml:space="preserve"> </t>
  </si>
  <si>
    <r>
      <t>Total Hours Worked</t>
    </r>
    <r>
      <rPr>
        <b/>
        <sz val="12"/>
        <color rgb="FF0000FF"/>
        <rFont val="Arial"/>
        <family val="2"/>
      </rPr>
      <t>&lt;=60</t>
    </r>
    <r>
      <rPr>
        <b/>
        <sz val="12"/>
        <color rgb="FF000000"/>
        <rFont val="Arial"/>
        <family val="2"/>
      </rPr>
      <t xml:space="preserve"> </t>
    </r>
  </si>
  <si>
    <t>Valid?</t>
  </si>
  <si>
    <t>Yes</t>
  </si>
  <si>
    <t>No</t>
  </si>
  <si>
    <t>Invalid ID format</t>
  </si>
  <si>
    <t>Negative dependents</t>
  </si>
  <si>
    <t xml:space="preserve">Federal Tax </t>
  </si>
  <si>
    <t xml:space="preserve">Gross Pay   </t>
  </si>
  <si>
    <t xml:space="preserve">Net Pay </t>
  </si>
  <si>
    <t xml:space="preserve">State Tax </t>
  </si>
  <si>
    <t>Overtime Pay</t>
  </si>
  <si>
    <t>Invalid name format</t>
  </si>
  <si>
    <t>Total hours exceed limit</t>
  </si>
  <si>
    <t xml:space="preserve">10 Test Cases </t>
  </si>
  <si>
    <t xml:space="preserve">Reason if NOT valid </t>
  </si>
  <si>
    <t>Invalid dependents</t>
  </si>
  <si>
    <t>Invalid hours exceed limit</t>
  </si>
  <si>
    <t>Correct calculated or flagged?</t>
  </si>
  <si>
    <t>Calculated correctly</t>
  </si>
  <si>
    <t>Flagged Invalid</t>
  </si>
  <si>
    <t>PASS</t>
  </si>
  <si>
    <t xml:space="preserve">Error Found for PASS OR FAIL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</si>
</sst>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ptos Narrow"/>
      <scheme val="minor"/>
    </font>
    <font>
      <b/>
      <sz val="12"/>
      <color rgb="FF0000FF"/>
      <name val="Arial"/>
      <family val="2"/>
    </font>
    <font>
      <b/>
      <sz val="12"/>
      <color rgb="FF1257D0"/>
      <name val="Aptos Narrow (Body)"/>
    </font>
    <font>
      <sz val="12"/>
      <color rgb="FF000000"/>
      <name val="Arial"/>
      <family val="2"/>
    </font>
    <font>
      <sz val="12"/>
      <color rgb="FF1257D0"/>
      <name val="Aptos Narrow"/>
      <family val="2"/>
      <scheme val="minor"/>
    </font>
    <font>
      <sz val="12"/>
      <color rgb="FF1257D0"/>
      <name val="Aptos Narrow (Body)"/>
    </font>
    <font>
      <b/>
      <sz val="12"/>
      <color rgb="FF1257D0"/>
      <name val="Aptos Narrow"/>
      <scheme val="minor"/>
    </font>
    <font>
      <sz val="12"/>
      <color rgb="FF1257D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0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2" fontId="0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57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5FF2-E247-8549-990F-4A7B1661593C}">
  <dimension ref="A1:M12"/>
  <sheetViews>
    <sheetView workbookViewId="0">
      <selection activeCell="E24" sqref="E24"/>
    </sheetView>
  </sheetViews>
  <sheetFormatPr baseColWidth="10" defaultRowHeight="16" x14ac:dyDescent="0.2"/>
  <cols>
    <col min="1" max="1" width="16.33203125" style="5" customWidth="1"/>
    <col min="2" max="2" width="11.6640625" style="9" customWidth="1"/>
    <col min="3" max="3" width="13.33203125" style="9" customWidth="1"/>
    <col min="4" max="4" width="15" style="9" customWidth="1"/>
    <col min="5" max="7" width="10.83203125" style="9"/>
    <col min="8" max="8" width="14.83203125" style="5" customWidth="1"/>
    <col min="9" max="9" width="11.6640625" style="5" customWidth="1"/>
    <col min="10" max="10" width="10.6640625" style="5" customWidth="1"/>
    <col min="11" max="11" width="13" style="5" customWidth="1"/>
    <col min="12" max="12" width="10" style="9" customWidth="1"/>
    <col min="13" max="13" width="39.33203125" style="5" customWidth="1"/>
    <col min="14" max="16384" width="10.83203125" style="5"/>
  </cols>
  <sheetData>
    <row r="1" spans="1:13" s="9" customFormat="1" ht="34" x14ac:dyDescent="0.2">
      <c r="A1" s="7" t="s">
        <v>0</v>
      </c>
      <c r="B1" s="7" t="s">
        <v>2</v>
      </c>
      <c r="C1" s="8" t="s">
        <v>3</v>
      </c>
      <c r="D1" s="8" t="s">
        <v>19</v>
      </c>
      <c r="E1" s="7" t="s">
        <v>4</v>
      </c>
      <c r="F1" s="7" t="s">
        <v>29</v>
      </c>
      <c r="G1" s="7" t="s">
        <v>5</v>
      </c>
      <c r="H1" s="7" t="s">
        <v>26</v>
      </c>
      <c r="I1" s="7" t="s">
        <v>25</v>
      </c>
      <c r="J1" s="7" t="s">
        <v>28</v>
      </c>
      <c r="K1" s="7" t="s">
        <v>27</v>
      </c>
      <c r="L1" s="6" t="s">
        <v>20</v>
      </c>
      <c r="M1" s="7" t="s">
        <v>7</v>
      </c>
    </row>
    <row r="2" spans="1:13" ht="25" customHeight="1" x14ac:dyDescent="0.2">
      <c r="A2" s="3" t="s">
        <v>8</v>
      </c>
      <c r="B2" s="10">
        <v>12200</v>
      </c>
      <c r="C2" s="10">
        <v>2</v>
      </c>
      <c r="D2" s="10">
        <v>40</v>
      </c>
      <c r="E2" s="10">
        <v>0</v>
      </c>
      <c r="F2" s="13">
        <f>E2*G2*1.5</f>
        <v>0</v>
      </c>
      <c r="G2" s="13">
        <v>20</v>
      </c>
      <c r="H2" s="12">
        <f>(MIN(D2,40)*G2)+(E2*G2*1.5)</f>
        <v>800</v>
      </c>
      <c r="I2" s="12">
        <f>H2*0.079</f>
        <v>63.2</v>
      </c>
      <c r="J2" s="12">
        <f>H2*0.056</f>
        <v>44.800000000000004</v>
      </c>
      <c r="K2" s="12">
        <f>H2-I2-J2</f>
        <v>692</v>
      </c>
      <c r="L2" s="9" t="s">
        <v>21</v>
      </c>
    </row>
    <row r="3" spans="1:13" ht="26" customHeight="1" x14ac:dyDescent="0.2">
      <c r="A3" s="3" t="s">
        <v>9</v>
      </c>
      <c r="B3" s="10">
        <v>12201</v>
      </c>
      <c r="C3" s="10">
        <v>1</v>
      </c>
      <c r="D3" s="10">
        <v>38</v>
      </c>
      <c r="E3" s="10">
        <v>0</v>
      </c>
      <c r="F3" s="13">
        <f t="shared" ref="F3:F11" si="0">E3*G3*1.5</f>
        <v>0</v>
      </c>
      <c r="G3" s="13">
        <v>25</v>
      </c>
      <c r="H3" s="12">
        <f>(MIN(D3,40)*G3)+(E3*G3*1.5)</f>
        <v>950</v>
      </c>
      <c r="I3" s="12">
        <f t="shared" ref="I3:I11" si="1">H3*0.079</f>
        <v>75.05</v>
      </c>
      <c r="J3" s="12">
        <f t="shared" ref="J3:J11" si="2">H3*0.056</f>
        <v>53.2</v>
      </c>
      <c r="K3" s="12">
        <f t="shared" ref="K3:K11" si="3">H3-I3-J3</f>
        <v>821.75</v>
      </c>
      <c r="L3" s="9" t="s">
        <v>21</v>
      </c>
    </row>
    <row r="4" spans="1:13" ht="25" customHeight="1" x14ac:dyDescent="0.2">
      <c r="A4" s="3" t="s">
        <v>10</v>
      </c>
      <c r="B4" s="10">
        <v>12202</v>
      </c>
      <c r="C4" s="10">
        <v>0</v>
      </c>
      <c r="D4" s="10">
        <v>39</v>
      </c>
      <c r="E4" s="10">
        <v>0</v>
      </c>
      <c r="F4" s="13">
        <f t="shared" si="0"/>
        <v>0</v>
      </c>
      <c r="G4" s="13">
        <v>20</v>
      </c>
      <c r="H4" s="12">
        <f>(MIN(D4,40)*G4)+(E4*G4*1.5)</f>
        <v>780</v>
      </c>
      <c r="I4" s="12">
        <f t="shared" si="1"/>
        <v>61.62</v>
      </c>
      <c r="J4" s="12">
        <f t="shared" si="2"/>
        <v>43.68</v>
      </c>
      <c r="K4" s="12">
        <f t="shared" si="3"/>
        <v>674.7</v>
      </c>
      <c r="L4" s="9" t="s">
        <v>21</v>
      </c>
    </row>
    <row r="5" spans="1:13" ht="23" customHeight="1" x14ac:dyDescent="0.2">
      <c r="A5" s="3" t="s">
        <v>11</v>
      </c>
      <c r="B5" s="10">
        <v>12203</v>
      </c>
      <c r="C5" s="10">
        <v>3</v>
      </c>
      <c r="D5" s="10">
        <v>48</v>
      </c>
      <c r="E5" s="10">
        <v>8</v>
      </c>
      <c r="F5" s="13">
        <f t="shared" si="0"/>
        <v>288</v>
      </c>
      <c r="G5" s="13">
        <v>24</v>
      </c>
      <c r="H5" s="12">
        <f>(MIN(D5,40)*G5)+(E5*G5*1.5)</f>
        <v>1248</v>
      </c>
      <c r="I5" s="12">
        <f t="shared" si="1"/>
        <v>98.591999999999999</v>
      </c>
      <c r="J5" s="12">
        <f t="shared" si="2"/>
        <v>69.888000000000005</v>
      </c>
      <c r="K5" s="12">
        <f t="shared" si="3"/>
        <v>1079.52</v>
      </c>
      <c r="L5" s="9" t="s">
        <v>21</v>
      </c>
    </row>
    <row r="6" spans="1:13" ht="24" customHeight="1" x14ac:dyDescent="0.2">
      <c r="A6" s="3" t="s">
        <v>12</v>
      </c>
      <c r="B6" s="10">
        <v>12204</v>
      </c>
      <c r="C6" s="10">
        <v>2</v>
      </c>
      <c r="D6" s="10">
        <v>42</v>
      </c>
      <c r="E6" s="10">
        <v>2</v>
      </c>
      <c r="F6" s="13">
        <f t="shared" si="0"/>
        <v>60</v>
      </c>
      <c r="G6" s="13">
        <v>20</v>
      </c>
      <c r="H6" s="12">
        <f>(MIN(D6,40)*G6)+(E6*G6*1.5)</f>
        <v>860</v>
      </c>
      <c r="I6" s="12">
        <f t="shared" si="1"/>
        <v>67.94</v>
      </c>
      <c r="J6" s="12">
        <f t="shared" si="2"/>
        <v>48.160000000000004</v>
      </c>
      <c r="K6" s="12">
        <f t="shared" si="3"/>
        <v>743.9</v>
      </c>
      <c r="L6" s="9" t="s">
        <v>21</v>
      </c>
    </row>
    <row r="7" spans="1:13" ht="22" customHeight="1" x14ac:dyDescent="0.2">
      <c r="A7" s="3" t="s">
        <v>13</v>
      </c>
      <c r="B7" s="10">
        <v>12205</v>
      </c>
      <c r="C7" s="10">
        <v>0</v>
      </c>
      <c r="D7" s="10">
        <v>50</v>
      </c>
      <c r="E7" s="10">
        <v>10</v>
      </c>
      <c r="F7" s="13">
        <f t="shared" si="0"/>
        <v>375</v>
      </c>
      <c r="G7" s="13">
        <v>25</v>
      </c>
      <c r="H7" s="12">
        <f>(MIN(D7,40)*G7)+(E7*G7*1.5)</f>
        <v>1375</v>
      </c>
      <c r="I7" s="12">
        <f t="shared" si="1"/>
        <v>108.625</v>
      </c>
      <c r="J7" s="12">
        <f t="shared" si="2"/>
        <v>77</v>
      </c>
      <c r="K7" s="12">
        <f t="shared" si="3"/>
        <v>1189.375</v>
      </c>
      <c r="L7" s="9" t="s">
        <v>21</v>
      </c>
    </row>
    <row r="8" spans="1:13" ht="24" customHeight="1" x14ac:dyDescent="0.2">
      <c r="A8" s="3" t="s">
        <v>14</v>
      </c>
      <c r="B8" s="10">
        <v>12206</v>
      </c>
      <c r="C8" s="10">
        <v>1</v>
      </c>
      <c r="D8" s="10">
        <v>80</v>
      </c>
      <c r="E8" s="10">
        <v>40</v>
      </c>
      <c r="F8" s="13">
        <f t="shared" si="0"/>
        <v>1440</v>
      </c>
      <c r="G8" s="13">
        <v>24</v>
      </c>
      <c r="H8" s="12">
        <f>(MIN(D8,40)*G8)+(E8*G8*1.5)</f>
        <v>2400</v>
      </c>
      <c r="I8" s="12">
        <f t="shared" si="1"/>
        <v>189.6</v>
      </c>
      <c r="J8" s="12">
        <f t="shared" si="2"/>
        <v>134.4</v>
      </c>
      <c r="K8" s="12">
        <f t="shared" si="3"/>
        <v>2076</v>
      </c>
      <c r="L8" s="11" t="s">
        <v>22</v>
      </c>
      <c r="M8" s="4" t="s">
        <v>31</v>
      </c>
    </row>
    <row r="9" spans="1:13" ht="25" customHeight="1" x14ac:dyDescent="0.2">
      <c r="A9" s="3" t="s">
        <v>15</v>
      </c>
      <c r="B9" s="10">
        <v>1207</v>
      </c>
      <c r="C9" s="10">
        <v>4</v>
      </c>
      <c r="D9" s="10">
        <v>32</v>
      </c>
      <c r="E9" s="10">
        <v>0</v>
      </c>
      <c r="F9" s="13">
        <f t="shared" si="0"/>
        <v>0</v>
      </c>
      <c r="G9" s="13">
        <v>25</v>
      </c>
      <c r="H9" s="12">
        <f>(MIN(D9,40)*G9)+(E9*G9*1.5)</f>
        <v>800</v>
      </c>
      <c r="I9" s="12">
        <f t="shared" si="1"/>
        <v>63.2</v>
      </c>
      <c r="J9" s="12">
        <f t="shared" si="2"/>
        <v>44.800000000000004</v>
      </c>
      <c r="K9" s="12">
        <f t="shared" si="3"/>
        <v>692</v>
      </c>
      <c r="L9" s="11" t="s">
        <v>22</v>
      </c>
      <c r="M9" s="4" t="s">
        <v>23</v>
      </c>
    </row>
    <row r="10" spans="1:13" ht="25" customHeight="1" x14ac:dyDescent="0.2">
      <c r="A10" s="3" t="s">
        <v>16</v>
      </c>
      <c r="B10" s="10">
        <v>12208</v>
      </c>
      <c r="C10" s="10">
        <v>-2</v>
      </c>
      <c r="D10" s="10">
        <v>40</v>
      </c>
      <c r="E10" s="10">
        <v>0</v>
      </c>
      <c r="F10" s="13">
        <f t="shared" si="0"/>
        <v>0</v>
      </c>
      <c r="G10" s="13">
        <v>20</v>
      </c>
      <c r="H10" s="12">
        <f>(MIN(D10,40)*G10)+(E10*G10*1.5)</f>
        <v>800</v>
      </c>
      <c r="I10" s="12">
        <f t="shared" si="1"/>
        <v>63.2</v>
      </c>
      <c r="J10" s="12">
        <f t="shared" si="2"/>
        <v>44.800000000000004</v>
      </c>
      <c r="K10" s="12">
        <f t="shared" si="3"/>
        <v>692</v>
      </c>
      <c r="L10" s="11" t="s">
        <v>22</v>
      </c>
      <c r="M10" s="4" t="s">
        <v>24</v>
      </c>
    </row>
    <row r="11" spans="1:13" ht="25" customHeight="1" x14ac:dyDescent="0.2">
      <c r="A11" s="3" t="s">
        <v>17</v>
      </c>
      <c r="B11" s="10">
        <v>12209</v>
      </c>
      <c r="C11" s="10">
        <v>3</v>
      </c>
      <c r="D11" s="10">
        <v>40</v>
      </c>
      <c r="E11" s="10">
        <v>0</v>
      </c>
      <c r="F11" s="13">
        <f t="shared" si="0"/>
        <v>0</v>
      </c>
      <c r="G11" s="13">
        <v>20</v>
      </c>
      <c r="H11" s="12">
        <f>(MIN(D11,40)*G11)+(E11*G11*1.5)</f>
        <v>800</v>
      </c>
      <c r="I11" s="12">
        <f t="shared" si="1"/>
        <v>63.2</v>
      </c>
      <c r="J11" s="12">
        <f t="shared" si="2"/>
        <v>44.800000000000004</v>
      </c>
      <c r="K11" s="12">
        <f t="shared" si="3"/>
        <v>692</v>
      </c>
      <c r="L11" s="14" t="s">
        <v>22</v>
      </c>
      <c r="M11" s="5" t="s">
        <v>30</v>
      </c>
    </row>
    <row r="12" spans="1:13" ht="22" customHeight="1" x14ac:dyDescent="0.2">
      <c r="A12" s="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0373-32EC-5949-B83F-BB9FB6208296}">
  <dimension ref="A1:B11"/>
  <sheetViews>
    <sheetView workbookViewId="0">
      <selection activeCell="D3" sqref="D3"/>
    </sheetView>
  </sheetViews>
  <sheetFormatPr baseColWidth="10" defaultRowHeight="16" x14ac:dyDescent="0.2"/>
  <sheetData>
    <row r="1" spans="1:2" s="1" customFormat="1" ht="34" x14ac:dyDescent="0.2">
      <c r="A1" s="7" t="s">
        <v>1</v>
      </c>
      <c r="B1" s="2" t="s">
        <v>5</v>
      </c>
    </row>
    <row r="2" spans="1:2" x14ac:dyDescent="0.2">
      <c r="A2" s="10">
        <v>12200</v>
      </c>
      <c r="B2" s="13">
        <v>20</v>
      </c>
    </row>
    <row r="3" spans="1:2" x14ac:dyDescent="0.2">
      <c r="A3" s="10">
        <v>12201</v>
      </c>
      <c r="B3" s="13">
        <v>25</v>
      </c>
    </row>
    <row r="4" spans="1:2" x14ac:dyDescent="0.2">
      <c r="A4" s="10">
        <v>12202</v>
      </c>
      <c r="B4" s="13">
        <v>20</v>
      </c>
    </row>
    <row r="5" spans="1:2" x14ac:dyDescent="0.2">
      <c r="A5" s="10">
        <v>12203</v>
      </c>
      <c r="B5" s="13">
        <v>24</v>
      </c>
    </row>
    <row r="6" spans="1:2" x14ac:dyDescent="0.2">
      <c r="A6" s="10">
        <v>12204</v>
      </c>
      <c r="B6" s="13">
        <v>20</v>
      </c>
    </row>
    <row r="7" spans="1:2" x14ac:dyDescent="0.2">
      <c r="A7" s="10">
        <v>12205</v>
      </c>
      <c r="B7" s="13">
        <v>25</v>
      </c>
    </row>
    <row r="8" spans="1:2" x14ac:dyDescent="0.2">
      <c r="A8" s="10">
        <v>12206</v>
      </c>
      <c r="B8" s="13">
        <v>24</v>
      </c>
    </row>
    <row r="9" spans="1:2" x14ac:dyDescent="0.2">
      <c r="A9" s="10">
        <v>1207</v>
      </c>
      <c r="B9" s="13">
        <v>25</v>
      </c>
    </row>
    <row r="10" spans="1:2" x14ac:dyDescent="0.2">
      <c r="A10" s="10">
        <v>12208</v>
      </c>
      <c r="B10" s="13">
        <v>20</v>
      </c>
    </row>
    <row r="11" spans="1:2" x14ac:dyDescent="0.2">
      <c r="A11" s="10">
        <v>12209</v>
      </c>
      <c r="B11" s="13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8305-487F-6043-B147-2A599928CBFF}">
  <dimension ref="A1:E12"/>
  <sheetViews>
    <sheetView tabSelected="1" workbookViewId="0">
      <selection activeCell="I19" sqref="I19"/>
    </sheetView>
  </sheetViews>
  <sheetFormatPr baseColWidth="10" defaultRowHeight="16" x14ac:dyDescent="0.2"/>
  <cols>
    <col min="1" max="1" width="17.5" style="1" customWidth="1"/>
    <col min="2" max="2" width="10.83203125" style="1"/>
    <col min="3" max="3" width="23.6640625" style="1" customWidth="1"/>
    <col min="4" max="4" width="19" style="1" customWidth="1"/>
    <col min="5" max="16384" width="10.83203125" style="1"/>
  </cols>
  <sheetData>
    <row r="1" spans="1:5" ht="51" x14ac:dyDescent="0.2">
      <c r="A1" s="2" t="s">
        <v>32</v>
      </c>
      <c r="B1" s="16" t="s">
        <v>20</v>
      </c>
      <c r="C1" s="2" t="s">
        <v>33</v>
      </c>
      <c r="D1" s="2" t="s">
        <v>36</v>
      </c>
      <c r="E1" s="2" t="s">
        <v>40</v>
      </c>
    </row>
    <row r="2" spans="1:5" ht="17" x14ac:dyDescent="0.2">
      <c r="A2" s="15" t="s">
        <v>8</v>
      </c>
      <c r="B2" s="17" t="s">
        <v>21</v>
      </c>
      <c r="C2" s="1" t="s">
        <v>6</v>
      </c>
      <c r="D2" s="1" t="s">
        <v>37</v>
      </c>
      <c r="E2" s="1" t="s">
        <v>39</v>
      </c>
    </row>
    <row r="3" spans="1:5" ht="17" x14ac:dyDescent="0.2">
      <c r="A3" s="3" t="s">
        <v>9</v>
      </c>
      <c r="B3" s="17" t="s">
        <v>21</v>
      </c>
      <c r="C3" s="1" t="s">
        <v>6</v>
      </c>
      <c r="D3" s="1" t="s">
        <v>37</v>
      </c>
      <c r="E3" s="1" t="s">
        <v>39</v>
      </c>
    </row>
    <row r="4" spans="1:5" ht="17" x14ac:dyDescent="0.2">
      <c r="A4" s="3" t="s">
        <v>10</v>
      </c>
      <c r="B4" s="17" t="s">
        <v>21</v>
      </c>
      <c r="C4" s="1" t="s">
        <v>6</v>
      </c>
      <c r="D4" s="1" t="s">
        <v>37</v>
      </c>
      <c r="E4" s="1" t="s">
        <v>39</v>
      </c>
    </row>
    <row r="5" spans="1:5" ht="17" x14ac:dyDescent="0.2">
      <c r="A5" s="3" t="s">
        <v>11</v>
      </c>
      <c r="B5" s="17" t="s">
        <v>21</v>
      </c>
      <c r="C5" s="1" t="s">
        <v>6</v>
      </c>
      <c r="D5" s="1" t="s">
        <v>37</v>
      </c>
      <c r="E5" s="1" t="s">
        <v>39</v>
      </c>
    </row>
    <row r="6" spans="1:5" ht="17" x14ac:dyDescent="0.2">
      <c r="A6" s="3" t="s">
        <v>12</v>
      </c>
      <c r="B6" s="17" t="s">
        <v>21</v>
      </c>
      <c r="C6" s="1" t="s">
        <v>6</v>
      </c>
      <c r="D6" s="1" t="s">
        <v>37</v>
      </c>
      <c r="E6" s="1" t="s">
        <v>39</v>
      </c>
    </row>
    <row r="7" spans="1:5" ht="17" x14ac:dyDescent="0.2">
      <c r="A7" s="3" t="s">
        <v>13</v>
      </c>
      <c r="B7" s="17" t="s">
        <v>21</v>
      </c>
      <c r="C7" s="1" t="s">
        <v>6</v>
      </c>
      <c r="D7" s="1" t="s">
        <v>37</v>
      </c>
      <c r="E7" s="1" t="s">
        <v>39</v>
      </c>
    </row>
    <row r="8" spans="1:5" ht="34" x14ac:dyDescent="0.2">
      <c r="A8" s="3" t="s">
        <v>14</v>
      </c>
      <c r="B8" s="11" t="s">
        <v>22</v>
      </c>
      <c r="C8" s="3" t="s">
        <v>35</v>
      </c>
      <c r="D8" s="1" t="s">
        <v>38</v>
      </c>
      <c r="E8" s="1" t="s">
        <v>39</v>
      </c>
    </row>
    <row r="9" spans="1:5" ht="17" x14ac:dyDescent="0.2">
      <c r="A9" s="3" t="s">
        <v>15</v>
      </c>
      <c r="B9" s="11" t="s">
        <v>22</v>
      </c>
      <c r="C9" s="3" t="s">
        <v>23</v>
      </c>
      <c r="D9" s="1" t="s">
        <v>38</v>
      </c>
      <c r="E9" s="1" t="s">
        <v>39</v>
      </c>
    </row>
    <row r="10" spans="1:5" ht="17" x14ac:dyDescent="0.2">
      <c r="A10" s="3" t="s">
        <v>16</v>
      </c>
      <c r="B10" s="11" t="s">
        <v>22</v>
      </c>
      <c r="C10" s="3" t="s">
        <v>34</v>
      </c>
      <c r="D10" s="1" t="s">
        <v>38</v>
      </c>
      <c r="E10" s="1" t="s">
        <v>39</v>
      </c>
    </row>
    <row r="11" spans="1:5" ht="17" x14ac:dyDescent="0.2">
      <c r="A11" s="3" t="s">
        <v>17</v>
      </c>
      <c r="B11" s="18" t="s">
        <v>22</v>
      </c>
      <c r="C11" s="5" t="s">
        <v>30</v>
      </c>
      <c r="D11" s="1" t="s">
        <v>38</v>
      </c>
      <c r="E11" s="1" t="s">
        <v>39</v>
      </c>
    </row>
    <row r="12" spans="1:5" x14ac:dyDescent="0.2">
      <c r="B1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Payroll Results</vt:lpstr>
      <vt:lpstr>Employee Database (Lookup)</vt:lpstr>
      <vt:lpstr>10 Employee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Deanna Hardin</dc:creator>
  <cp:lastModifiedBy>Deanna Hardin</cp:lastModifiedBy>
  <dcterms:created xsi:type="dcterms:W3CDTF">2026-04-29T19:06:18Z</dcterms:created>
  <dcterms:modified xsi:type="dcterms:W3CDTF">2026-05-04T19:54:03Z</dcterms:modified>
</cp:coreProperties>
</file>